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st Estimate" sheetId="2" state="visible" r:id="rId4"/>
    <sheet name="Optimization Scenari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<sst xmlns="http://schemas.openxmlformats.org/spreadsheetml/2006/main" count="144" uniqueCount="133">
  <si>
    <t xml:space="preserve">Assumptions &amp; Unit Prices — Azure West Europe (USD, list prices captured 11-Jun-2026)</t>
  </si>
  <si>
    <t xml:space="preserve">General</t>
  </si>
  <si>
    <t xml:space="preserve">Hours per month (Azure calculator convention)</t>
  </si>
  <si>
    <t xml:space="preserve">Azure Pricing Calculator default</t>
  </si>
  <si>
    <t xml:space="preserve">Web server VM count (availability set)</t>
  </si>
  <si>
    <t xml:space="preserve">Architecture definition: 2x web servers</t>
  </si>
  <si>
    <t xml:space="preserve">Compute — Standard_D2s_v5 (2 vCPU / 8 GiB), West Europe</t>
  </si>
  <si>
    <t xml:space="preserve">Linux/base compute rate, PAYG ($/hr)</t>
  </si>
  <si>
    <t xml:space="preserve">Source: Azure VM list pricing via cloudprice.net, 11-Jun-2026 (East US = $0.096)</t>
  </si>
  <si>
    <t xml:space="preserve">Windows Server license component ($/hr)</t>
  </si>
  <si>
    <t xml:space="preserve">Source: Azure Windows VM pricing, uplift over Linux for 2-vCPU sizes (waived by Azure Hybrid Benefit)</t>
  </si>
  <si>
    <t xml:space="preserve">1-year Reserved Instance, compute ($/hr)</t>
  </si>
  <si>
    <t xml:space="preserve">Source: Azure reservation pricing, ~41% below PAYG compute; verify in calculator</t>
  </si>
  <si>
    <t xml:space="preserve">3-year Reserved Instance, compute ($/hr)</t>
  </si>
  <si>
    <t xml:space="preserve">Source: Azure reservation pricing, ~61% below PAYG compute; verify in calculator</t>
  </si>
  <si>
    <t xml:space="preserve">OS disk per VM: P10 Premium SSD 128 GiB ($/mo)</t>
  </si>
  <si>
    <t xml:space="preserve">Source: Azure Managed Disks pricing, West Europe (East US = $19.71)</t>
  </si>
  <si>
    <t xml:space="preserve">Networking</t>
  </si>
  <si>
    <t xml:space="preserve">Standard Load Balancer, first 5 rules ($/hr)</t>
  </si>
  <si>
    <t xml:space="preserve">Source: Azure Load Balancer pricing page</t>
  </si>
  <si>
    <t xml:space="preserve">Load Balancer data processed ($/GB)</t>
  </si>
  <si>
    <t xml:space="preserve">Load Balancer data processed per month (GB)</t>
  </si>
  <si>
    <t xml:space="preserve">Usage assumption: ~1.5 TB through LB (inbound + responses)</t>
  </si>
  <si>
    <t xml:space="preserve">Internet egress price, Europe ($/GB after free tier)</t>
  </si>
  <si>
    <t xml:space="preserve">Source: Azure Bandwidth pricing, 100 GB-10 TB tier, Europe</t>
  </si>
  <si>
    <t xml:space="preserve">Free egress allowance (GB/mo)</t>
  </si>
  <si>
    <t xml:space="preserve">Source: Azure Bandwidth pricing — first 100 GB/month free</t>
  </si>
  <si>
    <t xml:space="preserve">Estimated outbound internet traffic (GB/mo)</t>
  </si>
  <si>
    <t xml:space="preserve">Usage assumption per assignment: ~1 TB outbound</t>
  </si>
  <si>
    <t xml:space="preserve">Cache &amp; Database</t>
  </si>
  <si>
    <t xml:space="preserve">Azure Cache for Redis, Standard C1 1 GiB ($/hr)</t>
  </si>
  <si>
    <t xml:space="preserve">Source: Azure Cache pricing, West Europe (East US = $0.138/hr per cloudpricecheck.com, 11-Jun-2026)</t>
  </si>
  <si>
    <t xml:space="preserve">Azure SQL Database, Standard S2 50 DTU ($/hr)</t>
  </si>
  <si>
    <t xml:space="preserve">Source: Azure SQL single-database DTU pricing, West Europe; includes 250 GB storage (East US = $0.1009/hr)</t>
  </si>
  <si>
    <t xml:space="preserve">Storage — Blob (general purpose v2, Hot tier)</t>
  </si>
  <si>
    <t xml:space="preserve">Hot LRS capacity ($/GB-mo, first 50 TB)</t>
  </si>
  <si>
    <t xml:space="preserve">Source: Azure Blob Storage pricing, West Europe (nops.io Azure storage guide, 2026)</t>
  </si>
  <si>
    <t xml:space="preserve">Hot GRS capacity ($/GB-mo, first 50 TB)</t>
  </si>
  <si>
    <t xml:space="preserve">Source: Azure Blob Storage pricing, West Europe — GRS = 2x LRS</t>
  </si>
  <si>
    <t xml:space="preserve">Stored data (GB)</t>
  </si>
  <si>
    <t xml:space="preserve">Usage assumption: 1 TB of static assets/backups</t>
  </si>
  <si>
    <t xml:space="preserve">PaaS Comparison — Azure App Service Premium v3, West Europe</t>
  </si>
  <si>
    <t xml:space="preserve">P1v3 Windows (2 vCPU / 8 GiB) ($/mo per instance)</t>
  </si>
  <si>
    <t xml:space="preserve">Source: Azure App Service Windows pricing (East US = ~$241/mo per pump.co guide, Dec-2025) + WE uplift</t>
  </si>
  <si>
    <t xml:space="preserve">P1v3 Linux (2 vCPU / 8 GiB) ($/mo per instance)</t>
  </si>
  <si>
    <t xml:space="preserve">Source: Azure App Service Linux pricing (East US = ~$124/mo) + WE uplift</t>
  </si>
  <si>
    <t xml:space="preserve">App Service instance count</t>
  </si>
  <si>
    <t xml:space="preserve">Like-for-like with 2 web VMs</t>
  </si>
  <si>
    <t xml:space="preserve">Regional Comparison Reference — East US</t>
  </si>
  <si>
    <t xml:space="preserve">D2s_v5 Linux compute, East US ($/hr)</t>
  </si>
  <si>
    <t xml:space="preserve">Source: cloudprice.net / vantage.sh, 11-Jun-2026</t>
  </si>
  <si>
    <t xml:space="preserve">Blob Hot LRS, East US ($/GB-mo)</t>
  </si>
  <si>
    <t xml:space="preserve">Source: Azure Blob Storage pricing</t>
  </si>
  <si>
    <t xml:space="preserve">Blue cells are inputs. Prices are point-in-time USD list prices and drift over time — refresh against https://azure.microsoft.com/pricing/calculator/ before relying on totals.</t>
  </si>
  <si>
    <t xml:space="preserve">Monthly Cost Estimate — 3-Tier Web Application, West Europe (Pay-As-You-Go baseline, USD)</t>
  </si>
  <si>
    <t xml:space="preserve">Service</t>
  </si>
  <si>
    <t xml:space="preserve">SKU / Tier</t>
  </si>
  <si>
    <t xml:space="preserve">Configuration</t>
  </si>
  <si>
    <t xml:space="preserve">Qty</t>
  </si>
  <si>
    <t xml:space="preserve">Unit price</t>
  </si>
  <si>
    <t xml:space="preserve">Monthly cost</t>
  </si>
  <si>
    <t xml:space="preserve">Virtual Machines (web tier)</t>
  </si>
  <si>
    <t xml:space="preserve">Standard_D2s_v5, Windows Server</t>
  </si>
  <si>
    <t xml:space="preserve">2 vCPU / 8 GiB, availability set, 730 hrs</t>
  </si>
  <si>
    <t xml:space="preserve">Managed Disks</t>
  </si>
  <si>
    <t xml:space="preserve">P10 Premium SSD, 128 GiB (LRS)</t>
  </si>
  <si>
    <t xml:space="preserve">OS disk, one per VM</t>
  </si>
  <si>
    <t xml:space="preserve">Load Balancer</t>
  </si>
  <si>
    <t xml:space="preserve">Standard, regional</t>
  </si>
  <si>
    <t xml:space="preserve">&lt;=5 rules + 1,536 GB data processed</t>
  </si>
  <si>
    <t xml:space="preserve">Azure Cache for Redis</t>
  </si>
  <si>
    <t xml:space="preserve">Standard C1 (1 GiB, replicated)</t>
  </si>
  <si>
    <t xml:space="preserve">Session/state cache, 730 hrs</t>
  </si>
  <si>
    <t xml:space="preserve">Azure SQL Database</t>
  </si>
  <si>
    <t xml:space="preserve">Single DB, Standard S2 (50 DTU)</t>
  </si>
  <si>
    <t xml:space="preserve">Includes 250 GB storage, 730 hrs</t>
  </si>
  <si>
    <t xml:space="preserve">Blob Storage</t>
  </si>
  <si>
    <t xml:space="preserve">GPv2, Hot, GRS</t>
  </si>
  <si>
    <t xml:space="preserve">1,024 GB capacity (transactions excluded)</t>
  </si>
  <si>
    <t xml:space="preserve">Bandwidth</t>
  </si>
  <si>
    <t xml:space="preserve">Internet egress (Europe)</t>
  </si>
  <si>
    <t xml:space="preserve">1,024 GB out, first 100 GB free</t>
  </si>
  <si>
    <t xml:space="preserve">TOTAL — Pay-As-You-Go baseline</t>
  </si>
  <si>
    <t xml:space="preserve">Mirrors an Azure Pricing Calculator export. Green = pulls from Assumptions sheet. Excludes blob transaction/ops charges (&lt;$2/mo at assumed volumes) and support plans.</t>
  </si>
  <si>
    <t xml:space="preserve">What-If Scenarios — Cost Optimization Analysis (USD/month)</t>
  </si>
  <si>
    <t xml:space="preserve">A. Billing model — 2x D2s_v5 Windows web VMs (compute + OS license)</t>
  </si>
  <si>
    <t xml:space="preserve">Option</t>
  </si>
  <si>
    <t xml:space="preserve">Cost/month</t>
  </si>
  <si>
    <t xml:space="preserve">Saving vs PAYG</t>
  </si>
  <si>
    <t xml:space="preserve">Saving %</t>
  </si>
  <si>
    <t xml:space="preserve">Notes</t>
  </si>
  <si>
    <t xml:space="preserve">Pay-As-You-Go</t>
  </si>
  <si>
    <t xml:space="preserve">Full flexibility, no commitment</t>
  </si>
  <si>
    <t xml:space="preserve">1-year Reserved Instance</t>
  </si>
  <si>
    <t xml:space="preserve">Reservation covers compute only; Windows license still billed</t>
  </si>
  <si>
    <t xml:space="preserve">3-year Reserved Instance</t>
  </si>
  <si>
    <t xml:space="preserve">Deepest compute discount, 3-year lock-in</t>
  </si>
  <si>
    <t xml:space="preserve">PAYG + Azure Hybrid Benefit</t>
  </si>
  <si>
    <t xml:space="preserve">Existing Windows Server licenses with Software Assurance waive the license meter</t>
  </si>
  <si>
    <t xml:space="preserve">3-year RI + Azure Hybrid Benefit</t>
  </si>
  <si>
    <t xml:space="preserve">Stacked: reservation discount on compute + license waived</t>
  </si>
  <si>
    <t xml:space="preserve">B. Storage redundancy — 1,024 GB Blob, Hot tier</t>
  </si>
  <si>
    <t xml:space="preserve">Delta vs GRS</t>
  </si>
  <si>
    <t xml:space="preserve">Delta %</t>
  </si>
  <si>
    <t xml:space="preserve">GRS (geo-redundant, 6 copies across 2 regions)</t>
  </si>
  <si>
    <t xml:space="preserve">Survives a full regional outage; baseline in the estimate</t>
  </si>
  <si>
    <t xml:space="preserve">LRS (locally redundant, 3 copies in 1 datacenter)</t>
  </si>
  <si>
    <t xml:space="preserve">Half the cost; acceptable for re-creatable static assets</t>
  </si>
  <si>
    <t xml:space="preserve">C. IaaS vs PaaS — web tier (2 VMs + disks + LB vs App Service P1v3 x2)</t>
  </si>
  <si>
    <t xml:space="preserve">Delta vs IaaS</t>
  </si>
  <si>
    <t xml:space="preserve">IaaS: 2x D2s_v5 Windows PAYG + 2x P10 disks + Std LB</t>
  </si>
  <si>
    <t xml:space="preserve">Self-managed: you patch the OS, configure the LB, manage scaling</t>
  </si>
  <si>
    <t xml:space="preserve">PaaS: App Service P1v3 Windows x2</t>
  </si>
  <si>
    <t xml:space="preserve">Built-in LB, autoscale, patching, deployment slots — disks and LB line items disappear</t>
  </si>
  <si>
    <t xml:space="preserve">PaaS: App Service P1v3 Linux x2</t>
  </si>
  <si>
    <t xml:space="preserve">Same platform benefits without the Windows license premium</t>
  </si>
  <si>
    <t xml:space="preserve">D. Regional price check — same SKUs, West Europe vs East US</t>
  </si>
  <si>
    <t xml:space="preserve">Item</t>
  </si>
  <si>
    <t xml:space="preserve">West Europe</t>
  </si>
  <si>
    <t xml:space="preserve">East US</t>
  </si>
  <si>
    <t xml:space="preserve">WE premium</t>
  </si>
  <si>
    <t xml:space="preserve">D2s_v5 Linux compute ($/hr)</t>
  </si>
  <si>
    <t xml:space="preserve">General-purpose compute is ~20% dearer in West Europe</t>
  </si>
  <si>
    <t xml:space="preserve">Blob Hot LRS ($/GB-mo)</t>
  </si>
  <si>
    <t xml:space="preserve">Storage premium is smaller (~9%)</t>
  </si>
  <si>
    <t xml:space="preserve">E. Fully optimized architecture vs baseline</t>
  </si>
  <si>
    <t xml:space="preserve">Scenario</t>
  </si>
  <si>
    <t xml:space="preserve">Saving</t>
  </si>
  <si>
    <t xml:space="preserve">Levers applied</t>
  </si>
  <si>
    <t xml:space="preserve">Baseline: PAYG Windows VMs + GRS blob</t>
  </si>
  <si>
    <t xml:space="preserve">As per Cost Estimate sheet</t>
  </si>
  <si>
    <t xml:space="preserve">Optimized: 3-yr RI + Hybrid Benefit + LRS blob</t>
  </si>
  <si>
    <t xml:space="preserve">Reservation + existing licenses + right-sized redundancy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</si>
</sst>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\$#,##0.0000;&quot;($&quot;#,##0.0000\);\-"/>
    <numFmt numFmtId="167" formatCode="\$#,##0.00;&quot;($&quot;#,##0.00\);\-"/>
    <numFmt numFmtId="168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2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/>
      <c r="C3" s="2"/>
      <c r="D3" s="2"/>
    </row>
    <row r="4" customFormat="false" ht="15" hidden="false" customHeight="false" outlineLevel="0" collapsed="false">
      <c r="A4" s="3" t="s">
        <v>2</v>
      </c>
      <c r="B4" s="4" t="n">
        <v>730</v>
      </c>
      <c r="D4" s="5" t="s">
        <v>3</v>
      </c>
    </row>
    <row r="5" customFormat="false" ht="15" hidden="false" customHeight="false" outlineLevel="0" collapsed="false">
      <c r="A5" s="3" t="s">
        <v>4</v>
      </c>
      <c r="B5" s="4" t="n">
        <v>2</v>
      </c>
      <c r="D5" s="5" t="s">
        <v>5</v>
      </c>
    </row>
    <row r="6" customFormat="false" ht="15" hidden="false" customHeight="false" outlineLevel="0" collapsed="false">
      <c r="A6" s="2" t="s">
        <v>6</v>
      </c>
      <c r="B6" s="2"/>
      <c r="C6" s="2"/>
      <c r="D6" s="2"/>
    </row>
    <row r="7" customFormat="false" ht="15" hidden="false" customHeight="false" outlineLevel="0" collapsed="false">
      <c r="A7" s="3" t="s">
        <v>7</v>
      </c>
      <c r="B7" s="6" t="n">
        <v>0.115</v>
      </c>
      <c r="D7" s="5" t="s">
        <v>8</v>
      </c>
    </row>
    <row r="8" customFormat="false" ht="15" hidden="false" customHeight="false" outlineLevel="0" collapsed="false">
      <c r="A8" s="3" t="s">
        <v>9</v>
      </c>
      <c r="B8" s="6" t="n">
        <v>0.092</v>
      </c>
      <c r="D8" s="5" t="s">
        <v>10</v>
      </c>
    </row>
    <row r="9" customFormat="false" ht="15" hidden="false" customHeight="false" outlineLevel="0" collapsed="false">
      <c r="A9" s="3" t="s">
        <v>11</v>
      </c>
      <c r="B9" s="6" t="n">
        <v>0.0679</v>
      </c>
      <c r="D9" s="5" t="s">
        <v>12</v>
      </c>
    </row>
    <row r="10" customFormat="false" ht="15" hidden="false" customHeight="false" outlineLevel="0" collapsed="false">
      <c r="A10" s="3" t="s">
        <v>13</v>
      </c>
      <c r="B10" s="6" t="n">
        <v>0.0443</v>
      </c>
      <c r="D10" s="5" t="s">
        <v>14</v>
      </c>
    </row>
    <row r="11" customFormat="false" ht="15" hidden="false" customHeight="false" outlineLevel="0" collapsed="false">
      <c r="A11" s="3" t="s">
        <v>15</v>
      </c>
      <c r="B11" s="7" t="n">
        <v>21.68</v>
      </c>
      <c r="D11" s="5" t="s">
        <v>16</v>
      </c>
    </row>
    <row r="12" customFormat="false" ht="15" hidden="false" customHeight="false" outlineLevel="0" collapsed="false">
      <c r="A12" s="2" t="s">
        <v>17</v>
      </c>
      <c r="B12" s="2"/>
      <c r="C12" s="2"/>
      <c r="D12" s="2"/>
    </row>
    <row r="13" customFormat="false" ht="15" hidden="false" customHeight="false" outlineLevel="0" collapsed="false">
      <c r="A13" s="3" t="s">
        <v>18</v>
      </c>
      <c r="B13" s="6" t="n">
        <v>0.025</v>
      </c>
      <c r="D13" s="5" t="s">
        <v>19</v>
      </c>
    </row>
    <row r="14" customFormat="false" ht="15" hidden="false" customHeight="false" outlineLevel="0" collapsed="false">
      <c r="A14" s="3" t="s">
        <v>20</v>
      </c>
      <c r="B14" s="6" t="n">
        <v>0.005</v>
      </c>
      <c r="D14" s="5" t="s">
        <v>19</v>
      </c>
    </row>
    <row r="15" customFormat="false" ht="15" hidden="false" customHeight="false" outlineLevel="0" collapsed="false">
      <c r="A15" s="3" t="s">
        <v>21</v>
      </c>
      <c r="B15" s="4" t="n">
        <v>1536</v>
      </c>
      <c r="D15" s="5" t="s">
        <v>22</v>
      </c>
    </row>
    <row r="16" customFormat="false" ht="15" hidden="false" customHeight="false" outlineLevel="0" collapsed="false">
      <c r="A16" s="3" t="s">
        <v>23</v>
      </c>
      <c r="B16" s="6" t="n">
        <v>0.087</v>
      </c>
      <c r="D16" s="5" t="s">
        <v>24</v>
      </c>
    </row>
    <row r="17" customFormat="false" ht="15" hidden="false" customHeight="false" outlineLevel="0" collapsed="false">
      <c r="A17" s="3" t="s">
        <v>25</v>
      </c>
      <c r="B17" s="4" t="n">
        <v>100</v>
      </c>
      <c r="D17" s="5" t="s">
        <v>26</v>
      </c>
    </row>
    <row r="18" customFormat="false" ht="15" hidden="false" customHeight="false" outlineLevel="0" collapsed="false">
      <c r="A18" s="3" t="s">
        <v>27</v>
      </c>
      <c r="B18" s="4" t="n">
        <v>1024</v>
      </c>
      <c r="D18" s="5" t="s">
        <v>28</v>
      </c>
    </row>
    <row r="19" customFormat="false" ht="15" hidden="false" customHeight="false" outlineLevel="0" collapsed="false">
      <c r="A19" s="2" t="s">
        <v>29</v>
      </c>
      <c r="B19" s="2"/>
      <c r="C19" s="2"/>
      <c r="D19" s="2"/>
    </row>
    <row r="20" customFormat="false" ht="15" hidden="false" customHeight="false" outlineLevel="0" collapsed="false">
      <c r="A20" s="3" t="s">
        <v>30</v>
      </c>
      <c r="B20" s="6" t="n">
        <v>0.146</v>
      </c>
      <c r="D20" s="5" t="s">
        <v>31</v>
      </c>
    </row>
    <row r="21" customFormat="false" ht="15" hidden="false" customHeight="false" outlineLevel="0" collapsed="false">
      <c r="A21" s="3" t="s">
        <v>32</v>
      </c>
      <c r="B21" s="6" t="n">
        <v>0.1109</v>
      </c>
      <c r="D21" s="5" t="s">
        <v>33</v>
      </c>
    </row>
    <row r="22" customFormat="false" ht="15" hidden="false" customHeight="false" outlineLevel="0" collapsed="false">
      <c r="A22" s="2" t="s">
        <v>34</v>
      </c>
      <c r="B22" s="2"/>
      <c r="C22" s="2"/>
      <c r="D22" s="2"/>
    </row>
    <row r="23" customFormat="false" ht="15" hidden="false" customHeight="false" outlineLevel="0" collapsed="false">
      <c r="A23" s="3" t="s">
        <v>35</v>
      </c>
      <c r="B23" s="6" t="n">
        <v>0.0196</v>
      </c>
      <c r="D23" s="5" t="s">
        <v>36</v>
      </c>
    </row>
    <row r="24" customFormat="false" ht="15" hidden="false" customHeight="false" outlineLevel="0" collapsed="false">
      <c r="A24" s="3" t="s">
        <v>37</v>
      </c>
      <c r="B24" s="6" t="n">
        <v>0.0392</v>
      </c>
      <c r="D24" s="5" t="s">
        <v>38</v>
      </c>
    </row>
    <row r="25" customFormat="false" ht="15" hidden="false" customHeight="false" outlineLevel="0" collapsed="false">
      <c r="A25" s="3" t="s">
        <v>39</v>
      </c>
      <c r="B25" s="4" t="n">
        <v>1024</v>
      </c>
      <c r="D25" s="5" t="s">
        <v>40</v>
      </c>
    </row>
    <row r="26" customFormat="false" ht="15" hidden="false" customHeight="false" outlineLevel="0" collapsed="false">
      <c r="A26" s="2" t="s">
        <v>41</v>
      </c>
      <c r="B26" s="2"/>
      <c r="C26" s="2"/>
      <c r="D26" s="2"/>
    </row>
    <row r="27" customFormat="false" ht="15" hidden="false" customHeight="false" outlineLevel="0" collapsed="false">
      <c r="A27" s="3" t="s">
        <v>42</v>
      </c>
      <c r="B27" s="7" t="n">
        <v>265</v>
      </c>
      <c r="D27" s="5" t="s">
        <v>43</v>
      </c>
    </row>
    <row r="28" customFormat="false" ht="15" hidden="false" customHeight="false" outlineLevel="0" collapsed="false">
      <c r="A28" s="3" t="s">
        <v>44</v>
      </c>
      <c r="B28" s="7" t="n">
        <v>137</v>
      </c>
      <c r="D28" s="5" t="s">
        <v>45</v>
      </c>
    </row>
    <row r="29" customFormat="false" ht="15" hidden="false" customHeight="false" outlineLevel="0" collapsed="false">
      <c r="A29" s="3" t="s">
        <v>46</v>
      </c>
      <c r="B29" s="4" t="n">
        <v>2</v>
      </c>
      <c r="D29" s="5" t="s">
        <v>47</v>
      </c>
    </row>
    <row r="30" customFormat="false" ht="15" hidden="false" customHeight="false" outlineLevel="0" collapsed="false">
      <c r="A30" s="2" t="s">
        <v>48</v>
      </c>
      <c r="B30" s="2"/>
      <c r="C30" s="2"/>
      <c r="D30" s="2"/>
    </row>
    <row r="31" customFormat="false" ht="15" hidden="false" customHeight="false" outlineLevel="0" collapsed="false">
      <c r="A31" s="3" t="s">
        <v>49</v>
      </c>
      <c r="B31" s="6" t="n">
        <v>0.096</v>
      </c>
      <c r="D31" s="5" t="s">
        <v>50</v>
      </c>
    </row>
    <row r="32" customFormat="false" ht="15" hidden="false" customHeight="false" outlineLevel="0" collapsed="false">
      <c r="A32" s="3" t="s">
        <v>51</v>
      </c>
      <c r="B32" s="6" t="n">
        <v>0.018</v>
      </c>
      <c r="D32" s="5" t="s">
        <v>52</v>
      </c>
    </row>
    <row r="34" customFormat="false" ht="15" hidden="false" customHeight="false" outlineLevel="0" collapsed="false">
      <c r="A34" s="8" t="s">
        <v>53</v>
      </c>
    </row>
  </sheetData>
  <mergeCells count="8">
    <mergeCell ref="A1:D1"/>
    <mergeCell ref="A3:D3"/>
    <mergeCell ref="A6:D6"/>
    <mergeCell ref="A12:D12"/>
    <mergeCell ref="A19:D19"/>
    <mergeCell ref="A22:D22"/>
    <mergeCell ref="A26:D26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21.75" hidden="false" customHeight="true" outlineLevel="0" collapsed="false">
      <c r="A1" s="1" t="s">
        <v>54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9" t="s">
        <v>55</v>
      </c>
      <c r="B3" s="9" t="s">
        <v>56</v>
      </c>
      <c r="C3" s="9" t="s">
        <v>57</v>
      </c>
      <c r="D3" s="9" t="s">
        <v>58</v>
      </c>
      <c r="E3" s="9" t="s">
        <v>59</v>
      </c>
      <c r="F3" s="9" t="s">
        <v>60</v>
      </c>
    </row>
    <row r="4" customFormat="false" ht="15" hidden="false" customHeight="false" outlineLevel="0" collapsed="false">
      <c r="A4" s="10" t="s">
        <v>61</v>
      </c>
      <c r="B4" s="3" t="s">
        <v>62</v>
      </c>
      <c r="C4" s="3" t="s">
        <v>63</v>
      </c>
      <c r="D4" s="11" t="n">
        <f aca="false">Assumptions!$B$5</f>
        <v>2</v>
      </c>
      <c r="E4" s="12" t="n">
        <f aca="false">(Assumptions!$B$7+Assumptions!$B$8)*Assumptions!$B$4</f>
        <v>151.11</v>
      </c>
      <c r="F4" s="13" t="n">
        <f aca="false">D4*E4</f>
        <v>302.22</v>
      </c>
    </row>
    <row r="5" customFormat="false" ht="15" hidden="false" customHeight="false" outlineLevel="0" collapsed="false">
      <c r="A5" s="10" t="s">
        <v>64</v>
      </c>
      <c r="B5" s="3" t="s">
        <v>65</v>
      </c>
      <c r="C5" s="3" t="s">
        <v>66</v>
      </c>
      <c r="D5" s="11" t="n">
        <f aca="false">Assumptions!$B$5</f>
        <v>2</v>
      </c>
      <c r="E5" s="12" t="n">
        <f aca="false">Assumptions!$B$11</f>
        <v>21.68</v>
      </c>
      <c r="F5" s="13" t="n">
        <f aca="false">D5*E5</f>
        <v>43.36</v>
      </c>
    </row>
    <row r="6" customFormat="false" ht="15" hidden="false" customHeight="false" outlineLevel="0" collapsed="false">
      <c r="A6" s="10" t="s">
        <v>67</v>
      </c>
      <c r="B6" s="3" t="s">
        <v>68</v>
      </c>
      <c r="C6" s="3" t="s">
        <v>69</v>
      </c>
      <c r="D6" s="14" t="n">
        <v>1</v>
      </c>
      <c r="E6" s="12" t="n">
        <f aca="false">Assumptions!$B$13*Assumptions!$B$4+Assumptions!$B$14*Assumptions!$B$15</f>
        <v>25.93</v>
      </c>
      <c r="F6" s="13" t="n">
        <f aca="false">D6*E6</f>
        <v>25.93</v>
      </c>
    </row>
    <row r="7" customFormat="false" ht="15" hidden="false" customHeight="false" outlineLevel="0" collapsed="false">
      <c r="A7" s="10" t="s">
        <v>70</v>
      </c>
      <c r="B7" s="3" t="s">
        <v>71</v>
      </c>
      <c r="C7" s="3" t="s">
        <v>72</v>
      </c>
      <c r="D7" s="14" t="n">
        <v>1</v>
      </c>
      <c r="E7" s="12" t="n">
        <f aca="false">Assumptions!$B$20*Assumptions!$B$4</f>
        <v>106.58</v>
      </c>
      <c r="F7" s="13" t="n">
        <f aca="false">D7*E7</f>
        <v>106.58</v>
      </c>
    </row>
    <row r="8" customFormat="false" ht="15" hidden="false" customHeight="false" outlineLevel="0" collapsed="false">
      <c r="A8" s="10" t="s">
        <v>73</v>
      </c>
      <c r="B8" s="3" t="s">
        <v>74</v>
      </c>
      <c r="C8" s="3" t="s">
        <v>75</v>
      </c>
      <c r="D8" s="14" t="n">
        <v>1</v>
      </c>
      <c r="E8" s="12" t="n">
        <f aca="false">Assumptions!$B$21*Assumptions!$B$4</f>
        <v>80.957</v>
      </c>
      <c r="F8" s="13" t="n">
        <f aca="false">D8*E8</f>
        <v>80.957</v>
      </c>
    </row>
    <row r="9" customFormat="false" ht="15" hidden="false" customHeight="false" outlineLevel="0" collapsed="false">
      <c r="A9" s="10" t="s">
        <v>76</v>
      </c>
      <c r="B9" s="3" t="s">
        <v>77</v>
      </c>
      <c r="C9" s="3" t="s">
        <v>78</v>
      </c>
      <c r="D9" s="14" t="n">
        <v>1</v>
      </c>
      <c r="E9" s="12" t="n">
        <f aca="false">Assumptions!$B$24*Assumptions!$B$25</f>
        <v>40.1408</v>
      </c>
      <c r="F9" s="13" t="n">
        <f aca="false">D9*E9</f>
        <v>40.1408</v>
      </c>
    </row>
    <row r="10" customFormat="false" ht="15" hidden="false" customHeight="false" outlineLevel="0" collapsed="false">
      <c r="A10" s="10" t="s">
        <v>79</v>
      </c>
      <c r="B10" s="3" t="s">
        <v>80</v>
      </c>
      <c r="C10" s="3" t="s">
        <v>81</v>
      </c>
      <c r="D10" s="14" t="n">
        <v>1</v>
      </c>
      <c r="E10" s="12" t="n">
        <f aca="false">(Assumptions!$B$18-Assumptions!$B$17)*Assumptions!$B$16</f>
        <v>80.388</v>
      </c>
      <c r="F10" s="13" t="n">
        <f aca="false">D10*E10</f>
        <v>80.388</v>
      </c>
    </row>
    <row r="11" customFormat="false" ht="15" hidden="false" customHeight="false" outlineLevel="0" collapsed="false">
      <c r="A11" s="15" t="s">
        <v>82</v>
      </c>
      <c r="B11" s="16"/>
      <c r="C11" s="16"/>
      <c r="D11" s="16"/>
      <c r="E11" s="16"/>
      <c r="F11" s="17" t="n">
        <f aca="false">SUM(F4:F10)</f>
        <v>679.5758</v>
      </c>
    </row>
    <row r="13" customFormat="false" ht="15" hidden="false" customHeight="false" outlineLevel="0" collapsed="false">
      <c r="A13" s="8" t="s">
        <v>83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13"/>
    <col collapsed="false" customWidth="true" hidden="false" outlineLevel="0" max="5" min="5" style="0" width="60"/>
  </cols>
  <sheetData>
    <row r="1" customFormat="false" ht="21.75" hidden="false" customHeight="true" outlineLevel="0" collapsed="false">
      <c r="A1" s="1" t="s">
        <v>84</v>
      </c>
      <c r="B1" s="1"/>
      <c r="C1" s="1"/>
      <c r="D1" s="1"/>
      <c r="E1" s="1"/>
    </row>
    <row r="3" customFormat="false" ht="15" hidden="false" customHeight="false" outlineLevel="0" collapsed="false">
      <c r="A3" s="18" t="s">
        <v>85</v>
      </c>
      <c r="B3" s="18"/>
      <c r="C3" s="18"/>
      <c r="D3" s="18"/>
      <c r="E3" s="18"/>
    </row>
    <row r="4" customFormat="false" ht="15" hidden="false" customHeight="false" outlineLevel="0" collapsed="false">
      <c r="A4" s="9" t="s">
        <v>86</v>
      </c>
      <c r="B4" s="9" t="s">
        <v>87</v>
      </c>
      <c r="C4" s="9" t="s">
        <v>88</v>
      </c>
      <c r="D4" s="9" t="s">
        <v>89</v>
      </c>
      <c r="E4" s="9" t="s">
        <v>90</v>
      </c>
    </row>
    <row r="5" customFormat="false" ht="15" hidden="false" customHeight="false" outlineLevel="0" collapsed="false">
      <c r="A5" s="3" t="s">
        <v>91</v>
      </c>
      <c r="B5" s="13" t="n">
        <f aca="false">(Assumptions!$B$7+Assumptions!$B$8)*Assumptions!$B$4*Assumptions!$B$5</f>
        <v>302.22</v>
      </c>
      <c r="C5" s="13" t="n">
        <f aca="false">$B$5-B5</f>
        <v>0</v>
      </c>
      <c r="D5" s="19" t="n">
        <f aca="false">C5/$B$5</f>
        <v>0</v>
      </c>
      <c r="E5" s="20" t="s">
        <v>92</v>
      </c>
    </row>
    <row r="6" customFormat="false" ht="15" hidden="false" customHeight="false" outlineLevel="0" collapsed="false">
      <c r="A6" s="3" t="s">
        <v>93</v>
      </c>
      <c r="B6" s="13" t="n">
        <f aca="false">(Assumptions!$B$9+Assumptions!$B$8)*Assumptions!$B$4*Assumptions!$B$5</f>
        <v>233.454</v>
      </c>
      <c r="C6" s="13" t="n">
        <f aca="false">$B$5-B6</f>
        <v>68.7660000000001</v>
      </c>
      <c r="D6" s="19" t="n">
        <f aca="false">C6/$B$5</f>
        <v>0.227536231884058</v>
      </c>
      <c r="E6" s="20" t="s">
        <v>94</v>
      </c>
    </row>
    <row r="7" customFormat="false" ht="15" hidden="false" customHeight="false" outlineLevel="0" collapsed="false">
      <c r="A7" s="3" t="s">
        <v>95</v>
      </c>
      <c r="B7" s="13" t="n">
        <f aca="false">(Assumptions!$B$10+Assumptions!$B$8)*Assumptions!$B$4*Assumptions!$B$5</f>
        <v>198.998</v>
      </c>
      <c r="C7" s="13" t="n">
        <f aca="false">$B$5-B7</f>
        <v>103.222</v>
      </c>
      <c r="D7" s="19" t="n">
        <f aca="false">C7/$B$5</f>
        <v>0.341545893719807</v>
      </c>
      <c r="E7" s="20" t="s">
        <v>96</v>
      </c>
    </row>
    <row r="8" customFormat="false" ht="15" hidden="false" customHeight="false" outlineLevel="0" collapsed="false">
      <c r="A8" s="3" t="s">
        <v>97</v>
      </c>
      <c r="B8" s="13" t="n">
        <f aca="false">Assumptions!$B$7*Assumptions!$B$4*Assumptions!$B$5</f>
        <v>167.9</v>
      </c>
      <c r="C8" s="13" t="n">
        <f aca="false">$B$5-B8</f>
        <v>134.32</v>
      </c>
      <c r="D8" s="19" t="n">
        <f aca="false">C8/$B$5</f>
        <v>0.444444444444445</v>
      </c>
      <c r="E8" s="20" t="s">
        <v>98</v>
      </c>
    </row>
    <row r="9" customFormat="false" ht="15" hidden="false" customHeight="false" outlineLevel="0" collapsed="false">
      <c r="A9" s="3" t="s">
        <v>99</v>
      </c>
      <c r="B9" s="13" t="n">
        <f aca="false">Assumptions!$B$10*Assumptions!$B$4*Assumptions!$B$5</f>
        <v>64.678</v>
      </c>
      <c r="C9" s="13" t="n">
        <f aca="false">$B$5-B9</f>
        <v>237.542</v>
      </c>
      <c r="D9" s="19" t="n">
        <f aca="false">C9/$B$5</f>
        <v>0.785990338164251</v>
      </c>
      <c r="E9" s="20" t="s">
        <v>100</v>
      </c>
    </row>
    <row r="11" customFormat="false" ht="15" hidden="false" customHeight="false" outlineLevel="0" collapsed="false">
      <c r="A11" s="18" t="s">
        <v>101</v>
      </c>
      <c r="B11" s="18"/>
      <c r="C11" s="18"/>
      <c r="D11" s="18"/>
      <c r="E11" s="18"/>
    </row>
    <row r="12" customFormat="false" ht="15" hidden="false" customHeight="false" outlineLevel="0" collapsed="false">
      <c r="A12" s="9" t="s">
        <v>86</v>
      </c>
      <c r="B12" s="9" t="s">
        <v>87</v>
      </c>
      <c r="C12" s="9" t="s">
        <v>102</v>
      </c>
      <c r="D12" s="9" t="s">
        <v>103</v>
      </c>
      <c r="E12" s="9" t="s">
        <v>90</v>
      </c>
    </row>
    <row r="13" customFormat="false" ht="15" hidden="false" customHeight="false" outlineLevel="0" collapsed="false">
      <c r="A13" s="3" t="s">
        <v>104</v>
      </c>
      <c r="B13" s="13" t="n">
        <f aca="false">Assumptions!$B$24*Assumptions!$B$25</f>
        <v>40.1408</v>
      </c>
      <c r="C13" s="21" t="n">
        <v>0</v>
      </c>
      <c r="D13" s="22" t="n">
        <v>0</v>
      </c>
      <c r="E13" s="20" t="s">
        <v>105</v>
      </c>
    </row>
    <row r="14" customFormat="false" ht="15" hidden="false" customHeight="false" outlineLevel="0" collapsed="false">
      <c r="A14" s="3" t="s">
        <v>106</v>
      </c>
      <c r="B14" s="13" t="n">
        <f aca="false">Assumptions!$B$23*Assumptions!$B$25</f>
        <v>20.0704</v>
      </c>
      <c r="C14" s="13" t="n">
        <f aca="false">B13-B14</f>
        <v>20.0704</v>
      </c>
      <c r="D14" s="19" t="n">
        <f aca="false">C14/B13</f>
        <v>0.5</v>
      </c>
      <c r="E14" s="20" t="s">
        <v>107</v>
      </c>
    </row>
    <row r="16" customFormat="false" ht="15" hidden="false" customHeight="false" outlineLevel="0" collapsed="false">
      <c r="A16" s="18" t="s">
        <v>108</v>
      </c>
      <c r="B16" s="18"/>
      <c r="C16" s="18"/>
      <c r="D16" s="18"/>
      <c r="E16" s="18"/>
    </row>
    <row r="17" customFormat="false" ht="15" hidden="false" customHeight="false" outlineLevel="0" collapsed="false">
      <c r="A17" s="9" t="s">
        <v>86</v>
      </c>
      <c r="B17" s="9" t="s">
        <v>87</v>
      </c>
      <c r="C17" s="9" t="s">
        <v>109</v>
      </c>
      <c r="D17" s="9" t="s">
        <v>103</v>
      </c>
      <c r="E17" s="9" t="s">
        <v>90</v>
      </c>
    </row>
    <row r="18" customFormat="false" ht="15" hidden="false" customHeight="false" outlineLevel="0" collapsed="false">
      <c r="A18" s="3" t="s">
        <v>110</v>
      </c>
      <c r="B18" s="13" t="n">
        <f aca="false">(Assumptions!$B$7+Assumptions!$B$8)*Assumptions!$B$4*Assumptions!$B$5+Assumptions!$B$11*Assumptions!$B$5+Assumptions!$B$13*Assumptions!$B$4+Assumptions!$B$14*Assumptions!$B$15</f>
        <v>371.51</v>
      </c>
      <c r="C18" s="23"/>
      <c r="D18" s="23"/>
      <c r="E18" s="20" t="s">
        <v>111</v>
      </c>
    </row>
    <row r="19" customFormat="false" ht="15" hidden="false" customHeight="false" outlineLevel="0" collapsed="false">
      <c r="A19" s="3" t="s">
        <v>112</v>
      </c>
      <c r="B19" s="13" t="n">
        <f aca="false">Assumptions!$B$27*Assumptions!$B$29</f>
        <v>530</v>
      </c>
      <c r="C19" s="13" t="n">
        <f aca="false">B18-B19</f>
        <v>-158.49</v>
      </c>
      <c r="D19" s="19" t="n">
        <f aca="false">C19/B18</f>
        <v>-0.426610320045221</v>
      </c>
      <c r="E19" s="20" t="s">
        <v>113</v>
      </c>
    </row>
    <row r="20" customFormat="false" ht="15" hidden="false" customHeight="false" outlineLevel="0" collapsed="false">
      <c r="A20" s="3" t="s">
        <v>114</v>
      </c>
      <c r="B20" s="13" t="n">
        <f aca="false">Assumptions!$B$28*Assumptions!$B$29</f>
        <v>274</v>
      </c>
      <c r="C20" s="13" t="n">
        <f aca="false">B18-B20</f>
        <v>97.5100000000001</v>
      </c>
      <c r="D20" s="19" t="n">
        <f aca="false">C20/B18</f>
        <v>0.262469381712471</v>
      </c>
      <c r="E20" s="20" t="s">
        <v>115</v>
      </c>
    </row>
    <row r="22" customFormat="false" ht="15" hidden="false" customHeight="false" outlineLevel="0" collapsed="false">
      <c r="A22" s="18" t="s">
        <v>116</v>
      </c>
      <c r="B22" s="18"/>
      <c r="C22" s="18"/>
      <c r="D22" s="18"/>
      <c r="E22" s="18"/>
    </row>
    <row r="23" customFormat="false" ht="15" hidden="false" customHeight="false" outlineLevel="0" collapsed="false">
      <c r="A23" s="9" t="s">
        <v>117</v>
      </c>
      <c r="B23" s="9" t="s">
        <v>118</v>
      </c>
      <c r="C23" s="9" t="s">
        <v>119</v>
      </c>
      <c r="D23" s="9" t="s">
        <v>120</v>
      </c>
      <c r="E23" s="9" t="s">
        <v>90</v>
      </c>
    </row>
    <row r="24" customFormat="false" ht="15" hidden="false" customHeight="false" outlineLevel="0" collapsed="false">
      <c r="A24" s="3" t="s">
        <v>121</v>
      </c>
      <c r="B24" s="24" t="n">
        <f aca="false">Assumptions!$B$7</f>
        <v>0.115</v>
      </c>
      <c r="C24" s="24" t="n">
        <f aca="false">Assumptions!$B$31</f>
        <v>0.096</v>
      </c>
      <c r="D24" s="19" t="n">
        <f aca="false">B24/C24-1</f>
        <v>0.197916666666667</v>
      </c>
      <c r="E24" s="20" t="s">
        <v>122</v>
      </c>
    </row>
    <row r="25" customFormat="false" ht="15" hidden="false" customHeight="false" outlineLevel="0" collapsed="false">
      <c r="A25" s="3" t="s">
        <v>123</v>
      </c>
      <c r="B25" s="24" t="n">
        <f aca="false">Assumptions!$B$23</f>
        <v>0.0196</v>
      </c>
      <c r="C25" s="24" t="n">
        <f aca="false">Assumptions!$B$32</f>
        <v>0.018</v>
      </c>
      <c r="D25" s="19" t="n">
        <f aca="false">B25/C25-1</f>
        <v>0.088888888888889</v>
      </c>
      <c r="E25" s="20" t="s">
        <v>124</v>
      </c>
    </row>
    <row r="27" customFormat="false" ht="15" hidden="false" customHeight="false" outlineLevel="0" collapsed="false">
      <c r="A27" s="18" t="s">
        <v>125</v>
      </c>
      <c r="B27" s="18"/>
      <c r="C27" s="18"/>
      <c r="D27" s="18"/>
      <c r="E27" s="18"/>
    </row>
    <row r="28" customFormat="false" ht="15" hidden="false" customHeight="false" outlineLevel="0" collapsed="false">
      <c r="A28" s="9" t="s">
        <v>126</v>
      </c>
      <c r="B28" s="9" t="s">
        <v>87</v>
      </c>
      <c r="C28" s="9" t="s">
        <v>127</v>
      </c>
      <c r="D28" s="9" t="s">
        <v>89</v>
      </c>
      <c r="E28" s="9" t="s">
        <v>128</v>
      </c>
    </row>
    <row r="29" customFormat="false" ht="15" hidden="false" customHeight="false" outlineLevel="0" collapsed="false">
      <c r="A29" s="3" t="s">
        <v>129</v>
      </c>
      <c r="B29" s="12" t="n">
        <f aca="false">'Cost Estimate'!$F$11</f>
        <v>679.5758</v>
      </c>
      <c r="C29" s="23"/>
      <c r="D29" s="23"/>
      <c r="E29" s="20" t="s">
        <v>130</v>
      </c>
    </row>
    <row r="30" customFormat="false" ht="15" hidden="false" customHeight="false" outlineLevel="0" collapsed="false">
      <c r="A30" s="3" t="s">
        <v>131</v>
      </c>
      <c r="B30" s="13" t="n">
        <f aca="false">Assumptions!$B$10*Assumptions!$B$4*Assumptions!$B$5+Assumptions!$B$11*Assumptions!$B$5+Assumptions!$B$13*Assumptions!$B$4+Assumptions!$B$14*Assumptions!$B$15+Assumptions!$B$20*Assumptions!$B$4+Assumptions!$B$21*Assumptions!$B$4+Assumptions!$B$23*Assumptions!$B$25+(Assumptions!$B$18-Assumptions!$B$17)*Assumptions!$B$16</f>
        <v>421.9634</v>
      </c>
      <c r="C30" s="13" t="n">
        <f aca="false">B29-B30</f>
        <v>257.6124</v>
      </c>
      <c r="D30" s="19" t="n">
        <f aca="false">C30/B29</f>
        <v>0.379078242633125</v>
      </c>
      <c r="E30" s="20" t="s">
        <v>132</v>
      </c>
    </row>
  </sheetData>
  <mergeCells count="6">
    <mergeCell ref="A1:E1"/>
    <mergeCell ref="A3:E3"/>
    <mergeCell ref="A11:E11"/>
    <mergeCell ref="A16:E16"/>
    <mergeCell ref="A22:E22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2026-06-11T07:59:56Z</dcterms:created>
  <dc:creator>openpyxl</dc:creator>
  <dc:description/>
  <dc:language>en-US</dc:language>
  <cp:lastModifiedBy/>
  <dcterms:modified xsi:type="dcterms:W3CDTF">2026-06-11T07:59:56Z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